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s.binatti\Documents\"/>
    </mc:Choice>
  </mc:AlternateContent>
  <xr:revisionPtr revIDLastSave="0" documentId="13_ncr:1_{8426A125-7026-4FBC-98FE-E138AD2BD652}" xr6:coauthVersionLast="47" xr6:coauthVersionMax="47" xr10:uidLastSave="{00000000-0000-0000-0000-000000000000}"/>
  <bookViews>
    <workbookView xWindow="-120" yWindow="-120" windowWidth="29040" windowHeight="15720" tabRatio="189" xr2:uid="{00000000-000D-0000-FFFF-FFFF00000000}"/>
  </bookViews>
  <sheets>
    <sheet name="IMPORTAÇÃO" sheetId="1" r:id="rId1"/>
  </sheets>
  <definedNames>
    <definedName name="a">IMPORTAÇÃO!#REF!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D11" i="1" l="1"/>
  <c r="L11" i="1"/>
  <c r="M11" i="1" s="1"/>
  <c r="D12" i="1"/>
  <c r="L12" i="1"/>
  <c r="M12" i="1" s="1"/>
  <c r="Q13" i="1"/>
  <c r="Q14" i="1"/>
  <c r="Q15" i="1"/>
  <c r="Q16" i="1"/>
  <c r="Q17" i="1"/>
  <c r="Q11" i="1" l="1"/>
  <c r="Q12" i="1"/>
  <c r="D10" i="1"/>
  <c r="L10" i="1"/>
  <c r="M10" i="1" s="1"/>
  <c r="D9" i="1"/>
  <c r="D8" i="1"/>
  <c r="L9" i="1"/>
  <c r="M9" i="1" s="1"/>
  <c r="L8" i="1"/>
  <c r="M8" i="1" s="1"/>
  <c r="L7" i="1"/>
  <c r="M7" i="1" s="1"/>
  <c r="L6" i="1"/>
  <c r="M6" i="1" s="1"/>
  <c r="Q10" i="1" l="1"/>
  <c r="Q6" i="1"/>
  <c r="Q9" i="1"/>
  <c r="Q8" i="1"/>
  <c r="Q7" i="1"/>
  <c r="Q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MOREIRA Julia</author>
    <author>ERINA CATARINA SOUZA FERREIRA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Obrigatório em caso de provisória convencional
</t>
        </r>
      </text>
    </comment>
    <comment ref="F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Data do embarque</t>
        </r>
      </text>
    </comment>
    <comment ref="G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Modal: 
T - Terrestre
M - Marítimo
A- Aéreo</t>
        </r>
      </text>
    </comment>
    <comment ref="H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Descrição da mercadoria</t>
        </r>
      </text>
    </comment>
    <comment ref="I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Veículo transportador
</t>
        </r>
      </text>
    </comment>
    <comment ref="J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Informar valor na Moeda da apólice.</t>
        </r>
      </text>
    </comment>
    <comment ref="K5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Informar valor na Moeda da apólice.</t>
        </r>
      </text>
    </comment>
    <comment ref="L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Informar valor na Moeda da apólice.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Informar valor na Moeda da apólice.</t>
        </r>
      </text>
    </comment>
    <comment ref="N5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Informar valor na Moeda da apólice.</t>
        </r>
      </text>
    </comment>
    <comment ref="O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Nº DI
</t>
        </r>
      </text>
    </comment>
  </commentList>
</comments>
</file>

<file path=xl/sharedStrings.xml><?xml version="1.0" encoding="utf-8"?>
<sst xmlns="http://schemas.openxmlformats.org/spreadsheetml/2006/main" count="74" uniqueCount="52">
  <si>
    <t>País de Origem</t>
  </si>
  <si>
    <t>Cidade de  Destino</t>
  </si>
  <si>
    <t>Mercadoria</t>
  </si>
  <si>
    <t>DI</t>
  </si>
  <si>
    <t>Nome do Segurado</t>
  </si>
  <si>
    <t>CNPJ</t>
  </si>
  <si>
    <t>Tipo de transporte</t>
  </si>
  <si>
    <t>Averbação provisória</t>
  </si>
  <si>
    <t>Despesas</t>
  </si>
  <si>
    <t>Lucros</t>
  </si>
  <si>
    <t>Modelo Averbação Via Planilha</t>
  </si>
  <si>
    <t>OBS</t>
  </si>
  <si>
    <t>Nº Apólice</t>
  </si>
  <si>
    <t>Porto Origem</t>
  </si>
  <si>
    <t>País Origem</t>
  </si>
  <si>
    <t>Data do BL</t>
  </si>
  <si>
    <t>Nome Navio</t>
  </si>
  <si>
    <t>Custo USD</t>
  </si>
  <si>
    <t>Frete USD</t>
  </si>
  <si>
    <t>Impostos da DI USD</t>
  </si>
  <si>
    <t>BANDEMAR COMERCIO IMPORTACAO E EXPORTACAO</t>
  </si>
  <si>
    <t>08.641.586/0002-66 e 08.641.586/0004-28</t>
  </si>
  <si>
    <t>NAVIO</t>
  </si>
  <si>
    <t>CHINA</t>
  </si>
  <si>
    <t>TOTAL</t>
  </si>
  <si>
    <t>CHAPA DE PEDRA ARTIFICIAL , POLIDA</t>
  </si>
  <si>
    <t>BND.0032/25</t>
  </si>
  <si>
    <t>25/1230865-0</t>
  </si>
  <si>
    <t>Itaguai</t>
  </si>
  <si>
    <t>NANSHA</t>
  </si>
  <si>
    <t>FERNAO DE MAGALHAES</t>
  </si>
  <si>
    <t>BND.0030/25</t>
  </si>
  <si>
    <t>QINGDAO</t>
  </si>
  <si>
    <t>Rio de Janeiro</t>
  </si>
  <si>
    <t>SAN MALEAS</t>
  </si>
  <si>
    <t>25/1230854-4</t>
  </si>
  <si>
    <t>CHAPA DE PEDRA ARTIFICIAL POLIDA, STAR BLACK</t>
  </si>
  <si>
    <t>LOGIN PANTANAL</t>
  </si>
  <si>
    <t>25/1267372-2</t>
  </si>
  <si>
    <t>BND.0039/25</t>
  </si>
  <si>
    <t>BND.0037/25</t>
  </si>
  <si>
    <t>25/1267218-1</t>
  </si>
  <si>
    <t>BND.0043/25</t>
  </si>
  <si>
    <t>ITALIA</t>
  </si>
  <si>
    <t>COPIAPO</t>
  </si>
  <si>
    <t>GENOVA</t>
  </si>
  <si>
    <t>PLACAS DE MÁRMORE POLIDAS BOTTICINO CLASSICO</t>
  </si>
  <si>
    <t>25/1282803-3</t>
  </si>
  <si>
    <t>BND.0052/25</t>
  </si>
  <si>
    <t>25/1304091-0</t>
  </si>
  <si>
    <t>CIVITAVECCHIA</t>
  </si>
  <si>
    <t>BLOCO DE TRAVERTINO LQ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</si>
</sst>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6" fillId="0" borderId="0" xfId="0" applyNumberFormat="1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43" fontId="6" fillId="3" borderId="3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2" fontId="9" fillId="3" borderId="3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2" fontId="9" fillId="3" borderId="0" xfId="1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4">
    <cellStyle name="Normal" xfId="0" builtinId="0"/>
    <cellStyle name="Normal 3" xfId="2" xr:uid="{00000000-0005-0000-0000-000001000000}"/>
    <cellStyle name="Vírgula" xfId="1" builtinId="3"/>
    <cellStyle name="Vírgula 2" xfId="3" xr:uid="{F42C52CB-CDC4-48B2-8213-072116487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1"/>
  <sheetViews>
    <sheetView tabSelected="1" zoomScale="118" zoomScaleNormal="154" workbookViewId="0">
      <selection activeCell="I21" sqref="I21"/>
    </sheetView>
  </sheetViews>
  <sheetFormatPr defaultRowHeight="12" x14ac:dyDescent="0.25"/>
  <cols>
    <col min="1" max="1" width="19.42578125" style="2" bestFit="1" customWidth="1"/>
    <col min="2" max="2" width="13.7109375" style="2" bestFit="1" customWidth="1"/>
    <col min="3" max="3" width="15.7109375" style="2" bestFit="1" customWidth="1"/>
    <col min="4" max="4" width="11" style="2" bestFit="1" customWidth="1"/>
    <col min="5" max="5" width="17.140625" style="2" bestFit="1" customWidth="1"/>
    <col min="6" max="6" width="10.85546875" style="2" bestFit="1" customWidth="1"/>
    <col min="7" max="7" width="16.7109375" style="2" bestFit="1" customWidth="1"/>
    <col min="8" max="8" width="53.28515625" style="4" bestFit="1" customWidth="1"/>
    <col min="9" max="9" width="25.28515625" style="4" bestFit="1" customWidth="1"/>
    <col min="10" max="10" width="12" style="2" bestFit="1" customWidth="1"/>
    <col min="11" max="11" width="9.85546875" style="2" bestFit="1" customWidth="1"/>
    <col min="12" max="13" width="9.7109375" style="2" bestFit="1" customWidth="1"/>
    <col min="14" max="14" width="17" style="5" bestFit="1" customWidth="1"/>
    <col min="15" max="15" width="13.140625" style="2" bestFit="1" customWidth="1"/>
    <col min="16" max="16" width="12.7109375" style="2" bestFit="1" customWidth="1"/>
    <col min="17" max="17" width="7.5703125" style="1" bestFit="1" customWidth="1"/>
    <col min="18" max="18" width="6.42578125" style="2" bestFit="1" customWidth="1"/>
    <col min="19" max="16384" width="9.140625" style="2"/>
  </cols>
  <sheetData>
    <row r="1" spans="1:17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7" x14ac:dyDescent="0.25">
      <c r="A2" s="13" t="s">
        <v>4</v>
      </c>
      <c r="B2" s="14"/>
      <c r="C2" s="16" t="s">
        <v>20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1:17" x14ac:dyDescent="0.25">
      <c r="A3" s="13" t="s">
        <v>5</v>
      </c>
      <c r="B3" s="14"/>
      <c r="C3" s="16" t="s">
        <v>21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1:17" x14ac:dyDescent="0.25">
      <c r="A4" s="13" t="s">
        <v>12</v>
      </c>
      <c r="B4" s="14"/>
      <c r="C4" s="13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4"/>
    </row>
    <row r="5" spans="1:17" s="21" customFormat="1" ht="24.75" customHeight="1" x14ac:dyDescent="0.25">
      <c r="A5" s="6" t="s">
        <v>7</v>
      </c>
      <c r="B5" s="6" t="s">
        <v>0</v>
      </c>
      <c r="C5" s="7" t="s">
        <v>13</v>
      </c>
      <c r="D5" s="7" t="s">
        <v>14</v>
      </c>
      <c r="E5" s="7" t="s">
        <v>1</v>
      </c>
      <c r="F5" s="7" t="s">
        <v>15</v>
      </c>
      <c r="G5" s="7" t="s">
        <v>6</v>
      </c>
      <c r="H5" s="7" t="s">
        <v>2</v>
      </c>
      <c r="I5" s="8" t="s">
        <v>16</v>
      </c>
      <c r="J5" s="8" t="s">
        <v>17</v>
      </c>
      <c r="K5" s="8" t="s">
        <v>18</v>
      </c>
      <c r="L5" s="8" t="s">
        <v>8</v>
      </c>
      <c r="M5" s="9" t="s">
        <v>9</v>
      </c>
      <c r="N5" s="10" t="s">
        <v>19</v>
      </c>
      <c r="O5" s="10" t="s">
        <v>3</v>
      </c>
      <c r="P5" s="10" t="s">
        <v>11</v>
      </c>
      <c r="Q5" s="20"/>
    </row>
    <row r="6" spans="1:17" ht="20.100000000000001" customHeight="1" x14ac:dyDescent="0.25">
      <c r="A6" s="22"/>
      <c r="B6" s="22" t="s">
        <v>23</v>
      </c>
      <c r="C6" s="22" t="s">
        <v>29</v>
      </c>
      <c r="D6" s="22" t="s">
        <v>23</v>
      </c>
      <c r="E6" s="22" t="s">
        <v>28</v>
      </c>
      <c r="F6" s="23">
        <v>45775</v>
      </c>
      <c r="G6" s="22" t="s">
        <v>22</v>
      </c>
      <c r="H6" s="24" t="s">
        <v>25</v>
      </c>
      <c r="I6" s="24" t="s">
        <v>30</v>
      </c>
      <c r="J6" s="25">
        <v>121651.2</v>
      </c>
      <c r="K6" s="25">
        <v>8400</v>
      </c>
      <c r="L6" s="26">
        <f>(J6+K6)*10%</f>
        <v>13005.12</v>
      </c>
      <c r="M6" s="26">
        <f>SUM(J6:L6)*10%</f>
        <v>14305.632000000001</v>
      </c>
      <c r="N6" s="27">
        <f>(52810.82+15403.15+70781.16)/5.6332</f>
        <v>24674.275722502305</v>
      </c>
      <c r="O6" s="24" t="s">
        <v>27</v>
      </c>
      <c r="P6" s="24" t="s">
        <v>26</v>
      </c>
      <c r="Q6" s="19">
        <f t="shared" ref="Q6:Q7" si="0">(J6+K6+L6+M6+N6)*0.12%</f>
        <v>218.44347326700276</v>
      </c>
    </row>
    <row r="7" spans="1:17" ht="20.100000000000001" customHeight="1" x14ac:dyDescent="0.25">
      <c r="A7" s="22"/>
      <c r="B7" s="22" t="s">
        <v>23</v>
      </c>
      <c r="C7" s="22" t="s">
        <v>32</v>
      </c>
      <c r="D7" s="22" t="s">
        <v>23</v>
      </c>
      <c r="E7" s="22" t="s">
        <v>33</v>
      </c>
      <c r="F7" s="23">
        <v>45769</v>
      </c>
      <c r="G7" s="22" t="s">
        <v>22</v>
      </c>
      <c r="H7" s="24" t="s">
        <v>36</v>
      </c>
      <c r="I7" s="24" t="s">
        <v>34</v>
      </c>
      <c r="J7" s="25">
        <v>15719.04</v>
      </c>
      <c r="K7" s="25">
        <v>1000</v>
      </c>
      <c r="L7" s="26">
        <f>(J7+K7)*10%</f>
        <v>1671.9040000000002</v>
      </c>
      <c r="M7" s="26">
        <f>SUM(J7:L7)*10%</f>
        <v>1839.0944</v>
      </c>
      <c r="N7" s="27">
        <f>SUM(6789.22+1980.19+9099.44)/5.6332</f>
        <v>3172.0602854505428</v>
      </c>
      <c r="O7" s="24" t="s">
        <v>35</v>
      </c>
      <c r="P7" s="24" t="s">
        <v>31</v>
      </c>
      <c r="Q7" s="19">
        <f t="shared" si="0"/>
        <v>28.082518422540645</v>
      </c>
    </row>
    <row r="8" spans="1:17" ht="20.100000000000001" customHeight="1" x14ac:dyDescent="0.25">
      <c r="A8" s="22"/>
      <c r="B8" s="22" t="s">
        <v>23</v>
      </c>
      <c r="C8" s="22" t="s">
        <v>32</v>
      </c>
      <c r="D8" s="22" t="str">
        <f>B8</f>
        <v>CHINA</v>
      </c>
      <c r="E8" s="22" t="s">
        <v>33</v>
      </c>
      <c r="F8" s="23">
        <v>45748</v>
      </c>
      <c r="G8" s="22" t="s">
        <v>22</v>
      </c>
      <c r="H8" s="24" t="s">
        <v>36</v>
      </c>
      <c r="I8" s="36" t="s">
        <v>37</v>
      </c>
      <c r="J8" s="25">
        <v>13996.8</v>
      </c>
      <c r="K8" s="25">
        <v>1190</v>
      </c>
      <c r="L8" s="26">
        <f>(J8+K8)*10%</f>
        <v>1518.68</v>
      </c>
      <c r="M8" s="26">
        <f>SUM(J8:L8)*10%</f>
        <v>1670.548</v>
      </c>
      <c r="N8" s="27">
        <f>SUM(6104.39+1780.45+8181.58)/5.576</f>
        <v>2881.3522238163559</v>
      </c>
      <c r="O8" s="24" t="s">
        <v>38</v>
      </c>
      <c r="P8" s="24" t="s">
        <v>39</v>
      </c>
      <c r="Q8" s="19">
        <f t="shared" ref="Q8:Q17" si="1">(J8+K8+L8+M8+N8)*0.12%</f>
        <v>25.508856268579624</v>
      </c>
    </row>
    <row r="9" spans="1:17" ht="20.100000000000001" customHeight="1" x14ac:dyDescent="0.25">
      <c r="A9" s="22"/>
      <c r="B9" s="22" t="s">
        <v>23</v>
      </c>
      <c r="C9" s="22" t="s">
        <v>32</v>
      </c>
      <c r="D9" s="22" t="str">
        <f>B9</f>
        <v>CHINA</v>
      </c>
      <c r="E9" s="22" t="s">
        <v>33</v>
      </c>
      <c r="F9" s="23">
        <v>45748</v>
      </c>
      <c r="G9" s="22" t="s">
        <v>22</v>
      </c>
      <c r="H9" s="24" t="s">
        <v>25</v>
      </c>
      <c r="I9" s="36" t="s">
        <v>37</v>
      </c>
      <c r="J9" s="25">
        <v>43718.400000000001</v>
      </c>
      <c r="K9" s="25">
        <v>2380</v>
      </c>
      <c r="L9" s="26">
        <f t="shared" ref="L9" si="2">(J9+K9)*10%</f>
        <v>4609.84</v>
      </c>
      <c r="M9" s="26">
        <f t="shared" ref="M9" si="3">SUM(J9:L9)*10%</f>
        <v>5070.8240000000005</v>
      </c>
      <c r="N9" s="27">
        <f>SUM(18529.43+5404.42+24834.58)/5.576</f>
        <v>8746.1316355810632</v>
      </c>
      <c r="O9" s="24" t="s">
        <v>41</v>
      </c>
      <c r="P9" s="24" t="s">
        <v>40</v>
      </c>
      <c r="Q9" s="19">
        <f t="shared" si="1"/>
        <v>77.430234762697282</v>
      </c>
    </row>
    <row r="10" spans="1:17" ht="20.100000000000001" customHeight="1" x14ac:dyDescent="0.25">
      <c r="A10" s="22"/>
      <c r="B10" s="22" t="s">
        <v>43</v>
      </c>
      <c r="C10" s="22" t="s">
        <v>45</v>
      </c>
      <c r="D10" s="22" t="str">
        <f t="shared" ref="D10" si="4">B10</f>
        <v>ITALIA</v>
      </c>
      <c r="E10" s="22" t="s">
        <v>33</v>
      </c>
      <c r="F10" s="23">
        <v>45784</v>
      </c>
      <c r="G10" s="22" t="s">
        <v>22</v>
      </c>
      <c r="H10" s="24" t="s">
        <v>46</v>
      </c>
      <c r="I10" s="24" t="s">
        <v>44</v>
      </c>
      <c r="J10" s="29">
        <v>20414.580000000002</v>
      </c>
      <c r="K10" s="24">
        <v>424.97</v>
      </c>
      <c r="L10" s="26">
        <f t="shared" ref="L10" si="5">(J10+K10)*10%</f>
        <v>2083.9550000000004</v>
      </c>
      <c r="M10" s="26">
        <f t="shared" ref="M10" si="6">SUM(J10:L10)*10%</f>
        <v>2292.3505000000005</v>
      </c>
      <c r="N10" s="27">
        <f>SUM(6259.53+794.15+2434.26+11186.02)/5.5557</f>
        <v>3721.216048382742</v>
      </c>
      <c r="O10" s="24" t="s">
        <v>47</v>
      </c>
      <c r="P10" s="24" t="s">
        <v>42</v>
      </c>
      <c r="Q10" s="19">
        <f t="shared" ref="Q10" si="7">(J10+K10+L10+M10+N10)*0.12%</f>
        <v>34.724485858059296</v>
      </c>
    </row>
    <row r="11" spans="1:17" ht="20.100000000000001" customHeight="1" x14ac:dyDescent="0.25">
      <c r="A11" s="22"/>
      <c r="B11" s="22" t="s">
        <v>43</v>
      </c>
      <c r="C11" s="24" t="s">
        <v>50</v>
      </c>
      <c r="D11" s="22" t="str">
        <f t="shared" ref="D11:D12" si="8">B11</f>
        <v>ITALIA</v>
      </c>
      <c r="E11" s="22" t="s">
        <v>33</v>
      </c>
      <c r="F11" s="23">
        <v>45790</v>
      </c>
      <c r="G11" s="22" t="s">
        <v>22</v>
      </c>
      <c r="H11" s="24" t="s">
        <v>51</v>
      </c>
      <c r="I11" s="24" t="s">
        <v>44</v>
      </c>
      <c r="J11" s="29">
        <v>15758.76</v>
      </c>
      <c r="K11" s="24">
        <v>636.78</v>
      </c>
      <c r="L11" s="26">
        <f t="shared" ref="L11:L12" si="9">(J11+K11)*10%</f>
        <v>1639.5540000000001</v>
      </c>
      <c r="M11" s="26">
        <f t="shared" ref="M11:M12" si="10">SUM(J11:L11)*10%</f>
        <v>1803.5094000000001</v>
      </c>
      <c r="N11" s="27">
        <f>SUM(4909.71+1909.33+8773.84)/5.5388</f>
        <v>2815.2090705567994</v>
      </c>
      <c r="O11" s="24" t="s">
        <v>49</v>
      </c>
      <c r="P11" s="24" t="s">
        <v>48</v>
      </c>
      <c r="Q11" s="19">
        <f t="shared" ref="Q11:Q12" si="11">(J11+K11+L11+M11+N11)*0.12%</f>
        <v>27.184574964668158</v>
      </c>
    </row>
    <row r="12" spans="1:17" ht="20.100000000000001" customHeight="1" x14ac:dyDescent="0.25">
      <c r="A12" s="22"/>
      <c r="B12" s="22"/>
      <c r="C12" s="22"/>
      <c r="D12" s="22">
        <f t="shared" si="8"/>
        <v>0</v>
      </c>
      <c r="E12" s="22"/>
      <c r="F12" s="23"/>
      <c r="G12" s="22" t="s">
        <v>22</v>
      </c>
      <c r="H12" s="24"/>
      <c r="I12" s="24"/>
      <c r="J12" s="29"/>
      <c r="K12" s="24"/>
      <c r="L12" s="26">
        <f t="shared" si="9"/>
        <v>0</v>
      </c>
      <c r="M12" s="26">
        <f t="shared" si="10"/>
        <v>0</v>
      </c>
      <c r="N12" s="27"/>
      <c r="O12" s="24"/>
      <c r="P12" s="22"/>
      <c r="Q12" s="19">
        <f t="shared" si="11"/>
        <v>0</v>
      </c>
    </row>
    <row r="13" spans="1:17" ht="12.75" x14ac:dyDescent="0.25">
      <c r="A13" s="30"/>
      <c r="B13" s="30"/>
      <c r="C13" s="30"/>
      <c r="D13" s="30"/>
      <c r="E13" s="30"/>
      <c r="F13" s="31"/>
      <c r="G13" s="30"/>
      <c r="H13" s="28"/>
      <c r="I13" s="28"/>
      <c r="J13" s="32"/>
      <c r="K13" s="32"/>
      <c r="L13" s="33"/>
      <c r="M13" s="33"/>
      <c r="N13" s="34"/>
      <c r="O13" s="30"/>
      <c r="P13" s="30"/>
      <c r="Q13" s="3">
        <f t="shared" si="1"/>
        <v>0</v>
      </c>
    </row>
    <row r="14" spans="1:17" ht="12.75" x14ac:dyDescent="0.25">
      <c r="A14" s="30"/>
      <c r="B14" s="30"/>
      <c r="C14" s="30"/>
      <c r="D14" s="30"/>
      <c r="E14" s="30"/>
      <c r="F14" s="31"/>
      <c r="G14" s="30"/>
      <c r="H14" s="28"/>
      <c r="I14" s="28"/>
      <c r="J14" s="32"/>
      <c r="K14" s="32"/>
      <c r="L14" s="33"/>
      <c r="M14" s="33"/>
      <c r="N14" s="34"/>
      <c r="O14" s="30"/>
      <c r="P14" s="30"/>
      <c r="Q14" s="3">
        <f t="shared" si="1"/>
        <v>0</v>
      </c>
    </row>
    <row r="15" spans="1:17" ht="12.75" x14ac:dyDescent="0.25">
      <c r="A15" s="30"/>
      <c r="B15" s="30"/>
      <c r="C15" s="30"/>
      <c r="D15" s="30"/>
      <c r="E15" s="30"/>
      <c r="F15" s="31"/>
      <c r="G15" s="30"/>
      <c r="H15" s="28"/>
      <c r="I15" s="28"/>
      <c r="J15" s="32"/>
      <c r="K15" s="32"/>
      <c r="L15" s="33"/>
      <c r="M15" s="33"/>
      <c r="N15" s="34"/>
      <c r="O15" s="30"/>
      <c r="P15" s="30"/>
      <c r="Q15" s="3">
        <f t="shared" si="1"/>
        <v>0</v>
      </c>
    </row>
    <row r="16" spans="1:17" ht="12.75" x14ac:dyDescent="0.25">
      <c r="A16" s="30"/>
      <c r="B16" s="30"/>
      <c r="C16" s="30"/>
      <c r="D16" s="30"/>
      <c r="E16" s="30"/>
      <c r="F16" s="31"/>
      <c r="G16" s="30"/>
      <c r="H16" s="28"/>
      <c r="I16" s="28"/>
      <c r="J16" s="32"/>
      <c r="K16" s="32"/>
      <c r="L16" s="33"/>
      <c r="M16" s="33"/>
      <c r="N16" s="34"/>
      <c r="O16" s="30"/>
      <c r="P16" s="30"/>
      <c r="Q16" s="3">
        <f t="shared" si="1"/>
        <v>0</v>
      </c>
    </row>
    <row r="17" spans="1:18" ht="12.75" x14ac:dyDescent="0.25">
      <c r="A17" s="30"/>
      <c r="B17" s="30"/>
      <c r="C17" s="30"/>
      <c r="D17" s="30"/>
      <c r="E17" s="30"/>
      <c r="F17" s="31"/>
      <c r="G17" s="30"/>
      <c r="H17" s="28"/>
      <c r="I17" s="28"/>
      <c r="J17" s="32"/>
      <c r="K17" s="32"/>
      <c r="L17" s="33"/>
      <c r="M17" s="33"/>
      <c r="N17" s="34"/>
      <c r="O17" s="30"/>
      <c r="P17" s="30"/>
      <c r="Q17" s="3">
        <f t="shared" si="1"/>
        <v>0</v>
      </c>
    </row>
    <row r="18" spans="1:18" ht="12.75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5"/>
      <c r="O18" s="30"/>
      <c r="P18" s="30"/>
    </row>
    <row r="19" spans="1:18" ht="12.75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5"/>
      <c r="O19" s="30"/>
      <c r="P19" s="30"/>
    </row>
    <row r="20" spans="1:18" ht="12.75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5"/>
      <c r="O20" s="30"/>
      <c r="P20" s="30"/>
    </row>
    <row r="21" spans="1:18" ht="12.75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0"/>
      <c r="P21" s="30"/>
    </row>
    <row r="22" spans="1:18" ht="12.75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0"/>
      <c r="P22" s="30"/>
    </row>
    <row r="23" spans="1:18" ht="12.75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5"/>
      <c r="O23" s="30"/>
      <c r="P23" s="30"/>
    </row>
    <row r="24" spans="1:18" ht="12.75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5"/>
      <c r="O24" s="30"/>
      <c r="P24" s="30"/>
      <c r="Q24" s="3">
        <f>SUM(Q6:Q23)</f>
        <v>411.3741435435478</v>
      </c>
      <c r="R24" s="2" t="s">
        <v>24</v>
      </c>
    </row>
    <row r="25" spans="1:18" ht="12.75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5"/>
      <c r="O25" s="30"/>
      <c r="P25" s="30"/>
    </row>
    <row r="26" spans="1:18" ht="12.75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0"/>
      <c r="P26" s="30"/>
    </row>
    <row r="27" spans="1:18" ht="12.75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5"/>
      <c r="O27" s="30"/>
      <c r="P27" s="30"/>
    </row>
    <row r="28" spans="1:18" ht="12.75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0"/>
      <c r="P28" s="30"/>
    </row>
    <row r="29" spans="1:18" ht="12.75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5"/>
      <c r="O29" s="30"/>
      <c r="P29" s="30"/>
    </row>
    <row r="30" spans="1:18" ht="12.75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5"/>
      <c r="O30" s="30"/>
      <c r="P30" s="30"/>
    </row>
    <row r="31" spans="1:18" ht="12.75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5"/>
      <c r="O31" s="30"/>
      <c r="P31" s="30"/>
    </row>
    <row r="32" spans="1:18" ht="12.75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5"/>
      <c r="O32" s="30"/>
      <c r="P32" s="30"/>
    </row>
    <row r="33" spans="1:16" ht="12.75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5"/>
      <c r="O33" s="30"/>
      <c r="P33" s="30"/>
    </row>
    <row r="34" spans="1:16" ht="12.75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5"/>
      <c r="O34" s="30"/>
      <c r="P34" s="30"/>
    </row>
    <row r="35" spans="1:16" ht="12.75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0"/>
      <c r="P35" s="30"/>
    </row>
    <row r="36" spans="1:16" ht="12.7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0"/>
      <c r="P36" s="30"/>
    </row>
    <row r="37" spans="1:16" ht="12.75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5"/>
      <c r="O37" s="30"/>
      <c r="P37" s="30"/>
    </row>
    <row r="38" spans="1:16" ht="12.75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5"/>
      <c r="O38" s="30"/>
      <c r="P38" s="30"/>
    </row>
    <row r="39" spans="1:16" ht="12.7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5"/>
      <c r="O39" s="30"/>
      <c r="P39" s="30"/>
    </row>
    <row r="40" spans="1:16" ht="12.7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5"/>
      <c r="O40" s="30"/>
      <c r="P40" s="30"/>
    </row>
    <row r="41" spans="1:16" ht="12.75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5"/>
      <c r="O41" s="30"/>
      <c r="P41" s="30"/>
    </row>
    <row r="42" spans="1:16" ht="12.75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0"/>
      <c r="P42" s="30"/>
    </row>
    <row r="43" spans="1:16" ht="12.75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0"/>
      <c r="P43" s="30"/>
    </row>
    <row r="44" spans="1:16" ht="12.75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5"/>
      <c r="O44" s="30"/>
      <c r="P44" s="30"/>
    </row>
    <row r="45" spans="1:16" ht="12.75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5"/>
      <c r="O45" s="30"/>
      <c r="P45" s="30"/>
    </row>
    <row r="46" spans="1:16" ht="12.75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5"/>
      <c r="O46" s="30"/>
      <c r="P46" s="30"/>
    </row>
    <row r="47" spans="1:16" ht="12.75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0"/>
      <c r="P47" s="30"/>
    </row>
    <row r="48" spans="1:16" ht="12.75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0"/>
      <c r="P48" s="30"/>
    </row>
    <row r="49" spans="1:16" ht="12.75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5"/>
      <c r="O49" s="30"/>
      <c r="P49" s="30"/>
    </row>
    <row r="50" spans="1:16" ht="12.75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5"/>
      <c r="O50" s="30"/>
      <c r="P50" s="30"/>
    </row>
    <row r="51" spans="1:16" ht="12.75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5"/>
      <c r="O51" s="30"/>
      <c r="P51" s="30"/>
    </row>
    <row r="52" spans="1:16" ht="12.75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5"/>
      <c r="O52" s="30"/>
      <c r="P52" s="30"/>
    </row>
    <row r="53" spans="1:16" ht="12.75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5"/>
      <c r="O53" s="30"/>
      <c r="P53" s="30"/>
    </row>
    <row r="54" spans="1:16" ht="12.75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5"/>
      <c r="O54" s="30"/>
      <c r="P54" s="30"/>
    </row>
    <row r="55" spans="1:16" ht="12.75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0"/>
      <c r="P55" s="30"/>
    </row>
    <row r="56" spans="1:16" ht="12.75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0"/>
      <c r="P56" s="30"/>
    </row>
    <row r="57" spans="1:16" ht="12.75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5"/>
      <c r="O57" s="30"/>
      <c r="P57" s="30"/>
    </row>
    <row r="58" spans="1:16" ht="12.75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5"/>
      <c r="O58" s="30"/>
      <c r="P58" s="30"/>
    </row>
    <row r="59" spans="1:16" ht="12.75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5"/>
      <c r="O59" s="30"/>
      <c r="P59" s="30"/>
    </row>
    <row r="60" spans="1:16" ht="12.75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5"/>
      <c r="O60" s="30"/>
      <c r="P60" s="30"/>
    </row>
    <row r="61" spans="1:16" ht="12.75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5"/>
      <c r="O61" s="30"/>
      <c r="P61" s="30"/>
    </row>
    <row r="62" spans="1:16" ht="12.75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0"/>
      <c r="P62" s="30"/>
    </row>
    <row r="63" spans="1:16" ht="12.75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0"/>
      <c r="P63" s="30"/>
    </row>
    <row r="64" spans="1:16" ht="12.75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5"/>
      <c r="O64" s="30"/>
      <c r="P64" s="30"/>
    </row>
    <row r="65" spans="1:16" ht="12.75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5"/>
      <c r="O65" s="30"/>
      <c r="P65" s="30"/>
    </row>
    <row r="66" spans="1:16" ht="12.75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5"/>
      <c r="O66" s="30"/>
      <c r="P66" s="30"/>
    </row>
    <row r="67" spans="1:16" ht="12.75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5"/>
      <c r="O67" s="30"/>
      <c r="P67" s="30"/>
    </row>
    <row r="68" spans="1:16" ht="12.7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5"/>
      <c r="O68" s="30"/>
      <c r="P68" s="30"/>
    </row>
    <row r="69" spans="1:16" ht="12.75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5"/>
      <c r="O69" s="30"/>
      <c r="P69" s="30"/>
    </row>
    <row r="70" spans="1:16" ht="12.75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5"/>
      <c r="O70" s="30"/>
      <c r="P70" s="30"/>
    </row>
    <row r="71" spans="1:16" ht="12.75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5"/>
      <c r="O71" s="30"/>
      <c r="P71" s="30"/>
    </row>
    <row r="72" spans="1:16" ht="12.7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5"/>
      <c r="O72" s="30"/>
      <c r="P72" s="30"/>
    </row>
    <row r="73" spans="1:16" ht="12.75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5"/>
      <c r="O73" s="30"/>
      <c r="P73" s="30"/>
    </row>
    <row r="74" spans="1:16" ht="12.75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5"/>
      <c r="O74" s="30"/>
      <c r="P74" s="30"/>
    </row>
    <row r="75" spans="1:16" ht="12.75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5"/>
      <c r="O75" s="30"/>
      <c r="P75" s="30"/>
    </row>
    <row r="76" spans="1:16" ht="12.75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5"/>
      <c r="O76" s="30"/>
      <c r="P76" s="30"/>
    </row>
    <row r="77" spans="1:16" ht="12.75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5"/>
      <c r="O77" s="30"/>
      <c r="P77" s="30"/>
    </row>
    <row r="78" spans="1:16" ht="12.75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5"/>
      <c r="O78" s="30"/>
      <c r="P78" s="30"/>
    </row>
    <row r="79" spans="1:16" ht="12.75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5"/>
      <c r="O79" s="30"/>
      <c r="P79" s="30"/>
    </row>
    <row r="80" spans="1:16" ht="12.75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5"/>
      <c r="O80" s="30"/>
      <c r="P80" s="30"/>
    </row>
    <row r="81" spans="1:16" ht="12.75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5"/>
      <c r="O81" s="30"/>
      <c r="P81" s="30"/>
    </row>
    <row r="82" spans="1:16" ht="12.7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5"/>
      <c r="O82" s="30"/>
      <c r="P82" s="30"/>
    </row>
    <row r="83" spans="1:16" ht="12.7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5"/>
      <c r="O83" s="30"/>
      <c r="P83" s="30"/>
    </row>
    <row r="84" spans="1:16" ht="12.75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5"/>
      <c r="O84" s="30"/>
      <c r="P84" s="30"/>
    </row>
    <row r="85" spans="1:16" ht="12.75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5"/>
      <c r="O85" s="30"/>
      <c r="P85" s="30"/>
    </row>
    <row r="86" spans="1:16" ht="12.75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5"/>
      <c r="O86" s="30"/>
      <c r="P86" s="30"/>
    </row>
    <row r="87" spans="1:16" ht="12.75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5"/>
      <c r="O87" s="30"/>
      <c r="P87" s="30"/>
    </row>
    <row r="88" spans="1:16" ht="12.75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5"/>
      <c r="O88" s="30"/>
      <c r="P88" s="30"/>
    </row>
    <row r="89" spans="1:16" ht="12.75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5"/>
      <c r="O89" s="30"/>
      <c r="P89" s="30"/>
    </row>
    <row r="90" spans="1:16" ht="12.75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5"/>
      <c r="O90" s="30"/>
      <c r="P90" s="30"/>
    </row>
    <row r="91" spans="1:16" ht="12.75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5"/>
      <c r="O91" s="30"/>
      <c r="P91" s="30"/>
    </row>
    <row r="92" spans="1:16" ht="12.75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5"/>
      <c r="O92" s="30"/>
      <c r="P92" s="30"/>
    </row>
    <row r="93" spans="1:16" ht="12.75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5"/>
      <c r="O93" s="30"/>
      <c r="P93" s="30"/>
    </row>
    <row r="94" spans="1:16" ht="12.75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5"/>
      <c r="O94" s="30"/>
      <c r="P94" s="30"/>
    </row>
    <row r="95" spans="1:16" ht="12.75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5"/>
      <c r="O95" s="30"/>
      <c r="P95" s="30"/>
    </row>
    <row r="96" spans="1:16" ht="12.75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5"/>
      <c r="O96" s="30"/>
      <c r="P96" s="30"/>
    </row>
    <row r="97" spans="1:16" ht="12.75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5"/>
      <c r="O97" s="30"/>
      <c r="P97" s="30"/>
    </row>
    <row r="98" spans="1:16" ht="12.75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5"/>
      <c r="O98" s="30"/>
      <c r="P98" s="30"/>
    </row>
    <row r="99" spans="1:16" ht="12.75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5"/>
      <c r="O99" s="30"/>
      <c r="P99" s="30"/>
    </row>
    <row r="100" spans="1:16" ht="12.75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5"/>
      <c r="O100" s="30"/>
      <c r="P100" s="30"/>
    </row>
    <row r="101" spans="1:16" ht="12.75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5"/>
      <c r="O101" s="30"/>
      <c r="P101" s="30"/>
    </row>
    <row r="102" spans="1:16" ht="12.75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5"/>
      <c r="O102" s="30"/>
      <c r="P102" s="30"/>
    </row>
    <row r="103" spans="1:16" ht="12.75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5"/>
      <c r="O103" s="30"/>
      <c r="P103" s="30"/>
    </row>
    <row r="104" spans="1:16" ht="12.75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5"/>
      <c r="O104" s="30"/>
      <c r="P104" s="30"/>
    </row>
    <row r="105" spans="1:16" ht="12.75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5"/>
      <c r="O105" s="30"/>
      <c r="P105" s="30"/>
    </row>
    <row r="106" spans="1:16" ht="12.75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5"/>
      <c r="O106" s="30"/>
      <c r="P106" s="30"/>
    </row>
    <row r="107" spans="1:16" ht="12.75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5"/>
      <c r="O107" s="30"/>
      <c r="P107" s="30"/>
    </row>
    <row r="108" spans="1:16" ht="12.75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5"/>
      <c r="O108" s="30"/>
      <c r="P108" s="30"/>
    </row>
    <row r="109" spans="1:16" ht="12.75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5"/>
      <c r="O109" s="30"/>
      <c r="P109" s="30"/>
    </row>
    <row r="110" spans="1:16" ht="12.75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5"/>
      <c r="O110" s="30"/>
      <c r="P110" s="30"/>
    </row>
    <row r="111" spans="1:16" ht="12.75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5"/>
      <c r="O111" s="30"/>
      <c r="P111" s="30"/>
    </row>
    <row r="112" spans="1:16" ht="12.75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5"/>
      <c r="O112" s="30"/>
      <c r="P112" s="30"/>
    </row>
    <row r="113" spans="1:16" ht="12.75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5"/>
      <c r="O113" s="30"/>
      <c r="P113" s="30"/>
    </row>
    <row r="114" spans="1:16" ht="12.75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5"/>
      <c r="O114" s="30"/>
      <c r="P114" s="30"/>
    </row>
    <row r="115" spans="1:16" ht="12.75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5"/>
      <c r="O115" s="30"/>
      <c r="P115" s="30"/>
    </row>
    <row r="116" spans="1:16" ht="12.75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5"/>
      <c r="O116" s="30"/>
      <c r="P116" s="30"/>
    </row>
    <row r="117" spans="1:16" ht="12.75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5"/>
      <c r="O117" s="30"/>
      <c r="P117" s="30"/>
    </row>
    <row r="118" spans="1:16" ht="12.75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5"/>
      <c r="O118" s="30"/>
      <c r="P118" s="30"/>
    </row>
    <row r="119" spans="1:16" ht="12.75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5"/>
      <c r="O119" s="30"/>
      <c r="P119" s="30"/>
    </row>
    <row r="120" spans="1:16" ht="12.75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5"/>
      <c r="O120" s="30"/>
      <c r="P120" s="30"/>
    </row>
    <row r="121" spans="1:16" ht="12.75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5"/>
      <c r="O121" s="30"/>
      <c r="P121" s="30"/>
    </row>
    <row r="122" spans="1:16" ht="12.75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5"/>
      <c r="O122" s="30"/>
      <c r="P122" s="30"/>
    </row>
    <row r="123" spans="1:16" ht="12.75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5"/>
      <c r="O123" s="30"/>
      <c r="P123" s="30"/>
    </row>
    <row r="124" spans="1:16" ht="12.75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5"/>
      <c r="O124" s="30"/>
      <c r="P124" s="30"/>
    </row>
    <row r="125" spans="1:16" ht="12.7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5"/>
      <c r="O125" s="30"/>
      <c r="P125" s="30"/>
    </row>
    <row r="126" spans="1:16" ht="12.7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5"/>
      <c r="O126" s="30"/>
      <c r="P126" s="30"/>
    </row>
    <row r="127" spans="1:16" ht="12.75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5"/>
      <c r="O127" s="30"/>
      <c r="P127" s="30"/>
    </row>
    <row r="128" spans="1:16" ht="12.75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5"/>
      <c r="O128" s="30"/>
      <c r="P128" s="30"/>
    </row>
    <row r="129" spans="1:16" ht="12.75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5"/>
      <c r="O129" s="30"/>
      <c r="P129" s="30"/>
    </row>
    <row r="130" spans="1:16" x14ac:dyDescent="0.25">
      <c r="H130" s="2"/>
      <c r="I130" s="2"/>
    </row>
    <row r="131" spans="1:16" x14ac:dyDescent="0.25">
      <c r="H131" s="2"/>
      <c r="I131" s="2"/>
    </row>
    <row r="132" spans="1:16" x14ac:dyDescent="0.25">
      <c r="H132" s="2"/>
      <c r="I132" s="2"/>
    </row>
    <row r="133" spans="1:16" x14ac:dyDescent="0.25">
      <c r="H133" s="2"/>
      <c r="I133" s="2"/>
    </row>
    <row r="134" spans="1:16" x14ac:dyDescent="0.25">
      <c r="H134" s="2"/>
      <c r="I134" s="2"/>
    </row>
    <row r="135" spans="1:16" x14ac:dyDescent="0.25">
      <c r="H135" s="2"/>
      <c r="I135" s="2"/>
    </row>
    <row r="136" spans="1:16" x14ac:dyDescent="0.25">
      <c r="H136" s="2"/>
      <c r="I136" s="2"/>
    </row>
    <row r="137" spans="1:16" x14ac:dyDescent="0.25">
      <c r="H137" s="2"/>
      <c r="I137" s="2"/>
    </row>
    <row r="138" spans="1:16" x14ac:dyDescent="0.25">
      <c r="H138" s="2"/>
      <c r="I138" s="2"/>
    </row>
    <row r="139" spans="1:16" x14ac:dyDescent="0.25">
      <c r="H139" s="2"/>
      <c r="I139" s="2"/>
    </row>
    <row r="140" spans="1:16" x14ac:dyDescent="0.25">
      <c r="H140" s="2"/>
      <c r="I140" s="2"/>
    </row>
    <row r="141" spans="1:16" x14ac:dyDescent="0.25">
      <c r="H141" s="2"/>
      <c r="I141" s="2"/>
    </row>
    <row r="142" spans="1:16" x14ac:dyDescent="0.25">
      <c r="H142" s="2"/>
      <c r="I142" s="2"/>
    </row>
    <row r="143" spans="1:16" x14ac:dyDescent="0.25">
      <c r="H143" s="2"/>
      <c r="I143" s="2"/>
    </row>
    <row r="144" spans="1:16" x14ac:dyDescent="0.25">
      <c r="H144" s="2"/>
      <c r="I144" s="2"/>
    </row>
    <row r="145" spans="8:9" x14ac:dyDescent="0.25">
      <c r="H145" s="2"/>
      <c r="I145" s="2"/>
    </row>
    <row r="146" spans="8:9" x14ac:dyDescent="0.25">
      <c r="H146" s="2"/>
      <c r="I146" s="2"/>
    </row>
    <row r="147" spans="8:9" x14ac:dyDescent="0.25">
      <c r="H147" s="2"/>
      <c r="I147" s="2"/>
    </row>
    <row r="148" spans="8:9" x14ac:dyDescent="0.25">
      <c r="H148" s="2"/>
      <c r="I148" s="2"/>
    </row>
    <row r="149" spans="8:9" x14ac:dyDescent="0.25">
      <c r="H149" s="2"/>
      <c r="I149" s="2"/>
    </row>
    <row r="150" spans="8:9" x14ac:dyDescent="0.25">
      <c r="H150" s="2"/>
      <c r="I150" s="2"/>
    </row>
    <row r="151" spans="8:9" x14ac:dyDescent="0.25">
      <c r="H151" s="2"/>
      <c r="I151" s="2"/>
    </row>
    <row r="152" spans="8:9" x14ac:dyDescent="0.25">
      <c r="H152" s="2"/>
      <c r="I152" s="2"/>
    </row>
    <row r="153" spans="8:9" x14ac:dyDescent="0.25">
      <c r="H153" s="2"/>
      <c r="I153" s="2"/>
    </row>
    <row r="154" spans="8:9" x14ac:dyDescent="0.25">
      <c r="H154" s="2"/>
      <c r="I154" s="2"/>
    </row>
    <row r="155" spans="8:9" x14ac:dyDescent="0.25">
      <c r="H155" s="2"/>
      <c r="I155" s="2"/>
    </row>
    <row r="156" spans="8:9" x14ac:dyDescent="0.25">
      <c r="H156" s="2"/>
      <c r="I156" s="2"/>
    </row>
    <row r="157" spans="8:9" x14ac:dyDescent="0.25">
      <c r="H157" s="2"/>
      <c r="I157" s="2"/>
    </row>
    <row r="158" spans="8:9" x14ac:dyDescent="0.25">
      <c r="H158" s="2"/>
      <c r="I158" s="2"/>
    </row>
    <row r="159" spans="8:9" x14ac:dyDescent="0.25">
      <c r="H159" s="2"/>
      <c r="I159" s="2"/>
    </row>
    <row r="160" spans="8:9" x14ac:dyDescent="0.25">
      <c r="H160" s="2"/>
      <c r="I160" s="2"/>
    </row>
    <row r="161" spans="8:9" x14ac:dyDescent="0.25">
      <c r="H161" s="2"/>
      <c r="I161" s="2"/>
    </row>
    <row r="162" spans="8:9" x14ac:dyDescent="0.25">
      <c r="H162" s="2"/>
      <c r="I162" s="2"/>
    </row>
    <row r="163" spans="8:9" x14ac:dyDescent="0.25">
      <c r="H163" s="2"/>
      <c r="I163" s="2"/>
    </row>
    <row r="164" spans="8:9" x14ac:dyDescent="0.25">
      <c r="H164" s="2"/>
      <c r="I164" s="2"/>
    </row>
    <row r="165" spans="8:9" x14ac:dyDescent="0.25">
      <c r="H165" s="2"/>
      <c r="I165" s="2"/>
    </row>
    <row r="166" spans="8:9" x14ac:dyDescent="0.25">
      <c r="H166" s="2"/>
      <c r="I166" s="2"/>
    </row>
    <row r="167" spans="8:9" x14ac:dyDescent="0.25">
      <c r="H167" s="2"/>
      <c r="I167" s="2"/>
    </row>
    <row r="168" spans="8:9" x14ac:dyDescent="0.25">
      <c r="H168" s="2"/>
      <c r="I168" s="2"/>
    </row>
    <row r="169" spans="8:9" x14ac:dyDescent="0.25">
      <c r="H169" s="2"/>
      <c r="I169" s="2"/>
    </row>
    <row r="170" spans="8:9" x14ac:dyDescent="0.25">
      <c r="H170" s="2"/>
      <c r="I170" s="2"/>
    </row>
    <row r="171" spans="8:9" x14ac:dyDescent="0.25">
      <c r="H171" s="2"/>
      <c r="I171" s="2"/>
    </row>
    <row r="172" spans="8:9" x14ac:dyDescent="0.25">
      <c r="H172" s="2"/>
      <c r="I172" s="2"/>
    </row>
    <row r="173" spans="8:9" x14ac:dyDescent="0.25">
      <c r="H173" s="2"/>
      <c r="I173" s="2"/>
    </row>
    <row r="174" spans="8:9" x14ac:dyDescent="0.25">
      <c r="H174" s="2"/>
      <c r="I174" s="2"/>
    </row>
    <row r="175" spans="8:9" x14ac:dyDescent="0.25">
      <c r="H175" s="2"/>
      <c r="I175" s="2"/>
    </row>
    <row r="176" spans="8:9" x14ac:dyDescent="0.25">
      <c r="H176" s="2"/>
      <c r="I176" s="2"/>
    </row>
    <row r="177" spans="8:9" x14ac:dyDescent="0.25">
      <c r="H177" s="2"/>
      <c r="I177" s="2"/>
    </row>
    <row r="178" spans="8:9" x14ac:dyDescent="0.25">
      <c r="H178" s="2"/>
      <c r="I178" s="2"/>
    </row>
    <row r="179" spans="8:9" x14ac:dyDescent="0.25">
      <c r="H179" s="2"/>
      <c r="I179" s="2"/>
    </row>
    <row r="180" spans="8:9" x14ac:dyDescent="0.25">
      <c r="H180" s="2"/>
      <c r="I180" s="2"/>
    </row>
    <row r="181" spans="8:9" x14ac:dyDescent="0.25">
      <c r="H181" s="2"/>
      <c r="I181" s="2"/>
    </row>
    <row r="182" spans="8:9" x14ac:dyDescent="0.25">
      <c r="H182" s="2"/>
      <c r="I182" s="2"/>
    </row>
    <row r="183" spans="8:9" x14ac:dyDescent="0.25">
      <c r="H183" s="2"/>
      <c r="I183" s="2"/>
    </row>
    <row r="184" spans="8:9" x14ac:dyDescent="0.25">
      <c r="H184" s="2"/>
      <c r="I184" s="2"/>
    </row>
    <row r="185" spans="8:9" x14ac:dyDescent="0.25">
      <c r="H185" s="2"/>
      <c r="I185" s="2"/>
    </row>
    <row r="186" spans="8:9" x14ac:dyDescent="0.25">
      <c r="H186" s="2"/>
      <c r="I186" s="2"/>
    </row>
    <row r="187" spans="8:9" x14ac:dyDescent="0.25">
      <c r="H187" s="2"/>
      <c r="I187" s="2"/>
    </row>
    <row r="188" spans="8:9" x14ac:dyDescent="0.25">
      <c r="H188" s="2"/>
      <c r="I188" s="2"/>
    </row>
    <row r="189" spans="8:9" x14ac:dyDescent="0.25">
      <c r="H189" s="2"/>
      <c r="I189" s="2"/>
    </row>
    <row r="190" spans="8:9" x14ac:dyDescent="0.25">
      <c r="H190" s="2"/>
      <c r="I190" s="2"/>
    </row>
    <row r="191" spans="8:9" x14ac:dyDescent="0.25">
      <c r="H191" s="2"/>
      <c r="I191" s="2"/>
    </row>
    <row r="192" spans="8:9" x14ac:dyDescent="0.25">
      <c r="H192" s="2"/>
      <c r="I192" s="2"/>
    </row>
    <row r="193" spans="8:9" x14ac:dyDescent="0.25">
      <c r="H193" s="2"/>
      <c r="I193" s="2"/>
    </row>
    <row r="194" spans="8:9" x14ac:dyDescent="0.25">
      <c r="H194" s="2"/>
      <c r="I194" s="2"/>
    </row>
    <row r="195" spans="8:9" x14ac:dyDescent="0.25">
      <c r="H195" s="2"/>
      <c r="I195" s="2"/>
    </row>
    <row r="196" spans="8:9" x14ac:dyDescent="0.25">
      <c r="H196" s="2"/>
      <c r="I196" s="2"/>
    </row>
    <row r="197" spans="8:9" x14ac:dyDescent="0.25">
      <c r="H197" s="2"/>
      <c r="I197" s="2"/>
    </row>
    <row r="198" spans="8:9" x14ac:dyDescent="0.25">
      <c r="H198" s="2"/>
      <c r="I198" s="2"/>
    </row>
    <row r="199" spans="8:9" x14ac:dyDescent="0.25">
      <c r="H199" s="2"/>
      <c r="I199" s="2"/>
    </row>
    <row r="200" spans="8:9" x14ac:dyDescent="0.25">
      <c r="H200" s="2"/>
      <c r="I200" s="2"/>
    </row>
    <row r="201" spans="8:9" x14ac:dyDescent="0.25">
      <c r="H201" s="2"/>
      <c r="I201" s="2"/>
    </row>
    <row r="202" spans="8:9" x14ac:dyDescent="0.25">
      <c r="H202" s="2"/>
      <c r="I202" s="2"/>
    </row>
    <row r="203" spans="8:9" x14ac:dyDescent="0.25">
      <c r="H203" s="2"/>
      <c r="I203" s="2"/>
    </row>
    <row r="204" spans="8:9" x14ac:dyDescent="0.25">
      <c r="H204" s="2"/>
      <c r="I204" s="2"/>
    </row>
    <row r="205" spans="8:9" x14ac:dyDescent="0.25">
      <c r="H205" s="2"/>
      <c r="I205" s="2"/>
    </row>
    <row r="206" spans="8:9" x14ac:dyDescent="0.25">
      <c r="H206" s="2"/>
      <c r="I206" s="2"/>
    </row>
    <row r="207" spans="8:9" x14ac:dyDescent="0.25">
      <c r="H207" s="2"/>
      <c r="I207" s="2"/>
    </row>
    <row r="208" spans="8:9" x14ac:dyDescent="0.25">
      <c r="H208" s="2"/>
      <c r="I208" s="2"/>
    </row>
    <row r="209" spans="8:9" x14ac:dyDescent="0.25">
      <c r="H209" s="2"/>
      <c r="I209" s="2"/>
    </row>
    <row r="210" spans="8:9" x14ac:dyDescent="0.25">
      <c r="H210" s="2"/>
      <c r="I210" s="2"/>
    </row>
    <row r="211" spans="8:9" x14ac:dyDescent="0.25">
      <c r="H211" s="2"/>
      <c r="I211" s="2"/>
    </row>
    <row r="212" spans="8:9" x14ac:dyDescent="0.25">
      <c r="H212" s="2"/>
      <c r="I212" s="2"/>
    </row>
    <row r="213" spans="8:9" x14ac:dyDescent="0.25">
      <c r="H213" s="2"/>
      <c r="I213" s="2"/>
    </row>
    <row r="214" spans="8:9" x14ac:dyDescent="0.25">
      <c r="H214" s="2"/>
      <c r="I214" s="2"/>
    </row>
    <row r="215" spans="8:9" x14ac:dyDescent="0.25">
      <c r="H215" s="2"/>
      <c r="I215" s="2"/>
    </row>
    <row r="216" spans="8:9" x14ac:dyDescent="0.25">
      <c r="H216" s="2"/>
      <c r="I216" s="2"/>
    </row>
    <row r="217" spans="8:9" x14ac:dyDescent="0.25">
      <c r="H217" s="2"/>
      <c r="I217" s="2"/>
    </row>
    <row r="218" spans="8:9" x14ac:dyDescent="0.25">
      <c r="H218" s="2"/>
      <c r="I218" s="2"/>
    </row>
    <row r="219" spans="8:9" x14ac:dyDescent="0.25">
      <c r="H219" s="2"/>
      <c r="I219" s="2"/>
    </row>
    <row r="220" spans="8:9" x14ac:dyDescent="0.25">
      <c r="H220" s="2"/>
      <c r="I220" s="2"/>
    </row>
    <row r="221" spans="8:9" x14ac:dyDescent="0.25">
      <c r="H221" s="2"/>
      <c r="I221" s="2"/>
    </row>
    <row r="222" spans="8:9" x14ac:dyDescent="0.25">
      <c r="H222" s="2"/>
      <c r="I222" s="2"/>
    </row>
    <row r="223" spans="8:9" x14ac:dyDescent="0.25">
      <c r="H223" s="2"/>
      <c r="I223" s="2"/>
    </row>
    <row r="224" spans="8:9" x14ac:dyDescent="0.25">
      <c r="H224" s="2"/>
      <c r="I224" s="2"/>
    </row>
    <row r="225" spans="8:9" x14ac:dyDescent="0.25">
      <c r="H225" s="2"/>
      <c r="I225" s="2"/>
    </row>
    <row r="226" spans="8:9" x14ac:dyDescent="0.25">
      <c r="H226" s="2"/>
      <c r="I226" s="2"/>
    </row>
    <row r="227" spans="8:9" x14ac:dyDescent="0.25">
      <c r="H227" s="2"/>
      <c r="I227" s="2"/>
    </row>
    <row r="228" spans="8:9" x14ac:dyDescent="0.25">
      <c r="H228" s="2"/>
      <c r="I228" s="2"/>
    </row>
    <row r="229" spans="8:9" x14ac:dyDescent="0.25">
      <c r="H229" s="2"/>
      <c r="I229" s="2"/>
    </row>
    <row r="230" spans="8:9" x14ac:dyDescent="0.25">
      <c r="H230" s="2"/>
      <c r="I230" s="2"/>
    </row>
    <row r="231" spans="8:9" x14ac:dyDescent="0.25">
      <c r="H231" s="2"/>
      <c r="I231" s="2"/>
    </row>
    <row r="232" spans="8:9" x14ac:dyDescent="0.25">
      <c r="H232" s="2"/>
      <c r="I232" s="2"/>
    </row>
    <row r="233" spans="8:9" x14ac:dyDescent="0.25">
      <c r="H233" s="2"/>
      <c r="I233" s="2"/>
    </row>
    <row r="234" spans="8:9" x14ac:dyDescent="0.25">
      <c r="H234" s="2"/>
      <c r="I234" s="2"/>
    </row>
    <row r="235" spans="8:9" x14ac:dyDescent="0.25">
      <c r="H235" s="2"/>
      <c r="I235" s="2"/>
    </row>
    <row r="236" spans="8:9" x14ac:dyDescent="0.25">
      <c r="H236" s="2"/>
      <c r="I236" s="2"/>
    </row>
    <row r="237" spans="8:9" x14ac:dyDescent="0.25">
      <c r="H237" s="2"/>
      <c r="I237" s="2"/>
    </row>
    <row r="238" spans="8:9" x14ac:dyDescent="0.25">
      <c r="H238" s="2"/>
      <c r="I238" s="2"/>
    </row>
    <row r="239" spans="8:9" x14ac:dyDescent="0.25">
      <c r="H239" s="2"/>
      <c r="I239" s="2"/>
    </row>
    <row r="240" spans="8:9" x14ac:dyDescent="0.25">
      <c r="H240" s="2"/>
      <c r="I240" s="2"/>
    </row>
    <row r="241" spans="8:9" x14ac:dyDescent="0.25">
      <c r="H241" s="2"/>
      <c r="I241" s="2"/>
    </row>
    <row r="242" spans="8:9" x14ac:dyDescent="0.25">
      <c r="H242" s="2"/>
      <c r="I242" s="2"/>
    </row>
    <row r="243" spans="8:9" x14ac:dyDescent="0.25">
      <c r="H243" s="2"/>
      <c r="I243" s="2"/>
    </row>
    <row r="244" spans="8:9" x14ac:dyDescent="0.25">
      <c r="H244" s="2"/>
      <c r="I244" s="2"/>
    </row>
    <row r="245" spans="8:9" x14ac:dyDescent="0.25">
      <c r="H245" s="2"/>
      <c r="I245" s="2"/>
    </row>
    <row r="246" spans="8:9" x14ac:dyDescent="0.25">
      <c r="H246" s="2"/>
      <c r="I246" s="2"/>
    </row>
    <row r="247" spans="8:9" x14ac:dyDescent="0.25">
      <c r="H247" s="2"/>
      <c r="I247" s="2"/>
    </row>
    <row r="248" spans="8:9" x14ac:dyDescent="0.25">
      <c r="H248" s="2"/>
      <c r="I248" s="2"/>
    </row>
    <row r="249" spans="8:9" x14ac:dyDescent="0.25">
      <c r="H249" s="2"/>
      <c r="I249" s="2"/>
    </row>
    <row r="250" spans="8:9" x14ac:dyDescent="0.25">
      <c r="H250" s="2"/>
      <c r="I250" s="2"/>
    </row>
    <row r="251" spans="8:9" x14ac:dyDescent="0.25">
      <c r="H251" s="2"/>
      <c r="I251" s="2"/>
    </row>
    <row r="252" spans="8:9" x14ac:dyDescent="0.25">
      <c r="H252" s="2"/>
      <c r="I252" s="2"/>
    </row>
    <row r="253" spans="8:9" x14ac:dyDescent="0.25">
      <c r="H253" s="2"/>
      <c r="I253" s="2"/>
    </row>
    <row r="254" spans="8:9" x14ac:dyDescent="0.25">
      <c r="H254" s="2"/>
      <c r="I254" s="2"/>
    </row>
    <row r="255" spans="8:9" x14ac:dyDescent="0.25">
      <c r="H255" s="2"/>
      <c r="I255" s="2"/>
    </row>
    <row r="256" spans="8:9" x14ac:dyDescent="0.25">
      <c r="H256" s="2"/>
      <c r="I256" s="2"/>
    </row>
    <row r="257" spans="8:9" x14ac:dyDescent="0.25">
      <c r="H257" s="2"/>
      <c r="I257" s="2"/>
    </row>
    <row r="258" spans="8:9" x14ac:dyDescent="0.25">
      <c r="H258" s="2"/>
      <c r="I258" s="2"/>
    </row>
    <row r="259" spans="8:9" x14ac:dyDescent="0.25">
      <c r="H259" s="2"/>
      <c r="I259" s="2"/>
    </row>
    <row r="260" spans="8:9" x14ac:dyDescent="0.25">
      <c r="H260" s="2"/>
      <c r="I260" s="2"/>
    </row>
    <row r="261" spans="8:9" x14ac:dyDescent="0.25">
      <c r="H261" s="2"/>
      <c r="I261" s="2"/>
    </row>
    <row r="262" spans="8:9" x14ac:dyDescent="0.25">
      <c r="H262" s="2"/>
      <c r="I262" s="2"/>
    </row>
    <row r="263" spans="8:9" x14ac:dyDescent="0.25">
      <c r="H263" s="2"/>
      <c r="I263" s="2"/>
    </row>
    <row r="264" spans="8:9" x14ac:dyDescent="0.25">
      <c r="H264" s="2"/>
      <c r="I264" s="2"/>
    </row>
    <row r="265" spans="8:9" x14ac:dyDescent="0.25">
      <c r="H265" s="2"/>
      <c r="I265" s="2"/>
    </row>
    <row r="266" spans="8:9" x14ac:dyDescent="0.25">
      <c r="H266" s="2"/>
      <c r="I266" s="2"/>
    </row>
    <row r="267" spans="8:9" x14ac:dyDescent="0.25">
      <c r="H267" s="2"/>
      <c r="I267" s="2"/>
    </row>
    <row r="268" spans="8:9" x14ac:dyDescent="0.25">
      <c r="H268" s="2"/>
      <c r="I268" s="2"/>
    </row>
    <row r="269" spans="8:9" x14ac:dyDescent="0.25">
      <c r="H269" s="2"/>
      <c r="I269" s="2"/>
    </row>
    <row r="270" spans="8:9" x14ac:dyDescent="0.25">
      <c r="H270" s="2"/>
      <c r="I270" s="2"/>
    </row>
    <row r="271" spans="8:9" x14ac:dyDescent="0.25">
      <c r="H271" s="2"/>
      <c r="I271" s="2"/>
    </row>
    <row r="272" spans="8:9" x14ac:dyDescent="0.25">
      <c r="H272" s="2"/>
      <c r="I272" s="2"/>
    </row>
    <row r="273" spans="8:9" x14ac:dyDescent="0.25">
      <c r="H273" s="2"/>
      <c r="I273" s="2"/>
    </row>
    <row r="274" spans="8:9" x14ac:dyDescent="0.25">
      <c r="H274" s="2"/>
      <c r="I274" s="2"/>
    </row>
    <row r="275" spans="8:9" x14ac:dyDescent="0.25">
      <c r="H275" s="2"/>
      <c r="I275" s="2"/>
    </row>
    <row r="276" spans="8:9" x14ac:dyDescent="0.25">
      <c r="H276" s="2"/>
      <c r="I276" s="2"/>
    </row>
    <row r="277" spans="8:9" x14ac:dyDescent="0.25">
      <c r="H277" s="2"/>
      <c r="I277" s="2"/>
    </row>
    <row r="278" spans="8:9" x14ac:dyDescent="0.25">
      <c r="H278" s="2"/>
      <c r="I278" s="2"/>
    </row>
    <row r="279" spans="8:9" x14ac:dyDescent="0.25">
      <c r="H279" s="2"/>
      <c r="I279" s="2"/>
    </row>
    <row r="280" spans="8:9" x14ac:dyDescent="0.25">
      <c r="H280" s="2"/>
      <c r="I280" s="2"/>
    </row>
    <row r="281" spans="8:9" x14ac:dyDescent="0.25">
      <c r="H281" s="2"/>
      <c r="I281" s="2"/>
    </row>
  </sheetData>
  <mergeCells count="7">
    <mergeCell ref="A1:P1"/>
    <mergeCell ref="A4:B4"/>
    <mergeCell ref="C4:P4"/>
    <mergeCell ref="A2:B2"/>
    <mergeCell ref="A3:B3"/>
    <mergeCell ref="C3:P3"/>
    <mergeCell ref="C2:P2"/>
  </mergeCells>
  <phoneticPr fontId="8" type="noConversion"/>
  <pageMargins left="0.51181102362204722" right="0.51181102362204722" top="0.78740157480314965" bottom="0.78740157480314965" header="0.31496062992125984" footer="0.31496062992125984"/>
  <pageSetup scale="36" orientation="landscape" r:id="rId1"/>
  <headerFooter>
    <oddFooter>&amp;C&amp;1#&amp;"Calibri"&amp;10&amp;K000000Internal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MOREIRA Julia</dc:creator>
  <cp:lastModifiedBy>Marcos Binatti</cp:lastModifiedBy>
  <cp:lastPrinted>2021-07-30T12:09:37Z</cp:lastPrinted>
  <dcterms:created xsi:type="dcterms:W3CDTF">2016-12-09T12:46:46Z</dcterms:created>
  <dcterms:modified xsi:type="dcterms:W3CDTF">2025-06-30T15:02:37Z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66c949-88d4-4dab-8000-f2fd63ac062b_Enabled">
    <vt:lpwstr>true</vt:lpwstr>
  </property>
  <property fmtid="{D5CDD505-2E9C-101B-9397-08002B2CF9AE}" pid="3" name="MSIP_Label_9c66c949-88d4-4dab-8000-f2fd63ac062b_SetDate">
    <vt:lpwstr>2021-05-19T18:27:13Z</vt:lpwstr>
  </property>
  <property fmtid="{D5CDD505-2E9C-101B-9397-08002B2CF9AE}" pid="4" name="MSIP_Label_9c66c949-88d4-4dab-8000-f2fd63ac062b_Method">
    <vt:lpwstr>Standard</vt:lpwstr>
  </property>
  <property fmtid="{D5CDD505-2E9C-101B-9397-08002B2CF9AE}" pid="5" name="MSIP_Label_9c66c949-88d4-4dab-8000-f2fd63ac062b_Name">
    <vt:lpwstr>BRA_Internal</vt:lpwstr>
  </property>
  <property fmtid="{D5CDD505-2E9C-101B-9397-08002B2CF9AE}" pid="6" name="MSIP_Label_9c66c949-88d4-4dab-8000-f2fd63ac062b_SiteId">
    <vt:lpwstr>396b38cc-aa65-492b-bb0e-3d94ed25a97b</vt:lpwstr>
  </property>
  <property fmtid="{D5CDD505-2E9C-101B-9397-08002B2CF9AE}" pid="7" name="MSIP_Label_9c66c949-88d4-4dab-8000-f2fd63ac062b_ActionId">
    <vt:lpwstr>12a0ae48-e817-4fbd-a590-13887a917a5c</vt:lpwstr>
  </property>
  <property fmtid="{D5CDD505-2E9C-101B-9397-08002B2CF9AE}" pid="8" name="MSIP_Label_9c66c949-88d4-4dab-8000-f2fd63ac062b_ContentBits">
    <vt:lpwstr>2</vt:lpwstr>
  </property>
</Properties>
</file>